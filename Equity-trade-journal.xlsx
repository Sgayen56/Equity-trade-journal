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A6900645-FD2E-4FBD-B9A0-3432CD24F10D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P&amp;L Dashboard" sheetId="1" r:id="rId1"/>
    <sheet name="Trade P&amp;L &amp; Stories" sheetId="2" r:id="rId2"/>
    <sheet name="Risk &amp; Control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F17" i="2" s="1"/>
  <c r="K16" i="2"/>
  <c r="G16" i="2"/>
  <c r="F16" i="2"/>
  <c r="K15" i="2"/>
  <c r="G15" i="2"/>
  <c r="F15" i="2"/>
  <c r="K14" i="2"/>
  <c r="G14" i="2"/>
  <c r="F14" i="2"/>
  <c r="K13" i="2"/>
  <c r="G13" i="2"/>
  <c r="F13" i="2"/>
  <c r="K12" i="2"/>
  <c r="G12" i="2"/>
  <c r="F12" i="2"/>
  <c r="K11" i="2"/>
  <c r="G11" i="2"/>
  <c r="F11" i="2"/>
  <c r="K10" i="2"/>
  <c r="G10" i="2"/>
  <c r="F10" i="2"/>
  <c r="K9" i="2"/>
  <c r="G9" i="2"/>
  <c r="F9" i="2"/>
  <c r="K8" i="2"/>
  <c r="G8" i="2"/>
  <c r="F8" i="2"/>
  <c r="K7" i="2"/>
  <c r="G7" i="2"/>
  <c r="F7" i="2"/>
  <c r="K6" i="2"/>
  <c r="G6" i="2"/>
  <c r="F6" i="2"/>
  <c r="K5" i="2"/>
  <c r="G5" i="2"/>
  <c r="F5" i="2"/>
  <c r="K4" i="2"/>
  <c r="G4" i="2"/>
  <c r="G17" i="2" s="1"/>
  <c r="F4" i="2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F28" i="1"/>
  <c r="E28" i="1"/>
  <c r="D28" i="1"/>
  <c r="C28" i="1"/>
  <c r="B28" i="1"/>
  <c r="A28" i="1"/>
  <c r="K27" i="1"/>
  <c r="J27" i="1"/>
  <c r="F27" i="1"/>
  <c r="E27" i="1"/>
  <c r="D27" i="1"/>
  <c r="C27" i="1"/>
  <c r="B27" i="1"/>
  <c r="A27" i="1"/>
  <c r="K26" i="1"/>
  <c r="J26" i="1"/>
  <c r="F26" i="1"/>
  <c r="E26" i="1"/>
  <c r="D26" i="1"/>
  <c r="C26" i="1"/>
  <c r="B26" i="1"/>
  <c r="A26" i="1"/>
  <c r="K25" i="1"/>
  <c r="J25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B11" i="1"/>
  <c r="H10" i="1"/>
  <c r="B10" i="1"/>
  <c r="H9" i="1"/>
  <c r="H8" i="1"/>
  <c r="B8" i="1"/>
  <c r="B7" i="1"/>
  <c r="H6" i="1"/>
  <c r="B6" i="1"/>
  <c r="H5" i="1"/>
  <c r="H7" i="1" s="1"/>
  <c r="B5" i="1"/>
  <c r="B9" i="1" l="1"/>
</calcChain>
</file>

<file path=xl/sharedStrings.xml><?xml version="1.0" encoding="utf-8"?>
<sst xmlns="http://schemas.openxmlformats.org/spreadsheetml/2006/main" count="110" uniqueCount="94">
  <si>
    <t>Equity Trade P&amp;L Dashboard</t>
  </si>
  <si>
    <t>Selected-trade P&amp;L analysis: actual aggregate trade outcomes, contributors and learning points. It does not treat trades as one simultaneous portfolio.</t>
  </si>
  <si>
    <t>Key P&amp;L indicators</t>
  </si>
  <si>
    <t>Performance quality</t>
  </si>
  <si>
    <t>Selected trades</t>
  </si>
  <si>
    <t>Winning trades</t>
  </si>
  <si>
    <t>Total buy value</t>
  </si>
  <si>
    <t>Losing trades</t>
  </si>
  <si>
    <t>Total sell value</t>
  </si>
  <si>
    <t>Win rate</t>
  </si>
  <si>
    <t>Realized P&amp;L</t>
  </si>
  <si>
    <t>Profit factor</t>
  </si>
  <si>
    <t>Selected-trade return</t>
  </si>
  <si>
    <t>Largest contributor</t>
  </si>
  <si>
    <t>Gross gains</t>
  </si>
  <si>
    <t>Largest detractor</t>
  </si>
  <si>
    <t>Gross losses</t>
  </si>
  <si>
    <t>P&amp;L by instrument</t>
  </si>
  <si>
    <t>Key investor takeaways</t>
  </si>
  <si>
    <t>Symbol</t>
  </si>
  <si>
    <t>Buy Value</t>
  </si>
  <si>
    <t>Sell Value</t>
  </si>
  <si>
    <t>Return %</t>
  </si>
  <si>
    <t>Trade Type</t>
  </si>
  <si>
    <t>• Highest realized P&amp;L contributor: ZENSARTECH; strongest return: AHCL.
• The dataset includes both technical and fundamental/thematic ideas, plus banking and IPO trades.
• IRFC illustrates a failed breakout and the need for position-size discipline.
• RRKABEL and SAGILITY show that an exit reason can differ from the original investment thesis.
• P&amp;L check is arithmetic only; transaction-charge allocation and independent broker comparison are not available at trade level.</t>
  </si>
  <si>
    <t>P&amp;L</t>
  </si>
  <si>
    <t>Personal Equity Trade P&amp;L &amp; Investment Stories</t>
  </si>
  <si>
    <t>Quantity</t>
  </si>
  <si>
    <t>P&amp;L Contribution</t>
  </si>
  <si>
    <t>Investment thesis / entry rationale</t>
  </si>
  <si>
    <t>Exit / risk lesson</t>
  </si>
  <si>
    <t>P&amp;L Check</t>
  </si>
  <si>
    <t>ZENSARTECH</t>
  </si>
  <si>
    <t>Technical Analysis</t>
  </si>
  <si>
    <t>Flag-and-pole technical pattern.</t>
  </si>
  <si>
    <t>Technical setup worked; retain technical discipline.</t>
  </si>
  <si>
    <t>AHCL</t>
  </si>
  <si>
    <t>Thematic / Fundamental</t>
  </si>
  <si>
    <t>API/pharma idea: Dolo/paracetamol production and China-alternative thesis.</t>
  </si>
  <si>
    <t>Theme and thesis supported a strong outcome.</t>
  </si>
  <si>
    <t>MAHABANK</t>
  </si>
  <si>
    <t>Fundamental Analysis</t>
  </si>
  <si>
    <t>Undervalued PSU bank during broader government-bank rally.</t>
  </si>
  <si>
    <t>Value opportunity where profits improved before price fully reflected it.</t>
  </si>
  <si>
    <t>GSFC</t>
  </si>
  <si>
    <t>Fundamental + Technical Anal</t>
  </si>
  <si>
    <t>Zero-debt government company viewed as undervalued.</t>
  </si>
  <si>
    <t>Fundamental valuation opportunity.</t>
  </si>
  <si>
    <t>UNIONBANK</t>
  </si>
  <si>
    <t>Monitor sector momentum and valuation.</t>
  </si>
  <si>
    <t>SOUTHBANK</t>
  </si>
  <si>
    <t>Bank-sector opportunity.</t>
  </si>
  <si>
    <t>LUXIND</t>
  </si>
  <si>
    <t>Technical trade.</t>
  </si>
  <si>
    <t>Use chart signals and exit discipline.</t>
  </si>
  <si>
    <t>BBTC</t>
  </si>
  <si>
    <t>Technical trade using chart and volume.</t>
  </si>
  <si>
    <t>Volume confirmation was part of entry process.</t>
  </si>
  <si>
    <t>IRFC</t>
  </si>
  <si>
    <t>Chart-led swing trade / technical breakout.</t>
  </si>
  <si>
    <t>Breakout failed; avoid full-capital deployment on one chart view.</t>
  </si>
  <si>
    <t>RRKABEL</t>
  </si>
  <si>
    <t>Fundamental thesis was positive.</t>
  </si>
  <si>
    <t>Sold due to personal financial need; outcome did not invalidate thesis.</t>
  </si>
  <si>
    <t>SAGILITY</t>
  </si>
  <si>
    <t>Other</t>
  </si>
  <si>
    <t>Personal conviction in the idea.</t>
  </si>
  <si>
    <t>Patience and holding-period discipline needed.</t>
  </si>
  <si>
    <t>MAMATA</t>
  </si>
  <si>
    <t>IPO</t>
  </si>
  <si>
    <t>IPO-based investment idea.</t>
  </si>
  <si>
    <t>Post-listing performance did not meet expectations.</t>
  </si>
  <si>
    <t>JKPAPER</t>
  </si>
  <si>
    <t>Fundamental</t>
  </si>
  <si>
    <t>Bullish company/backstory thesis.</t>
  </si>
  <si>
    <t>Stock did not perform as expected; review thesis and catalysts.</t>
  </si>
  <si>
    <t>Selected-trade total</t>
  </si>
  <si>
    <t xml:space="preserve">Data note: Buy Value, Sell Value and Realized P&amp;L are the actual aggregate values provided for each selected trade. The P&amp;L check validates only that Sell Value − Buy Value equals stated Realized P&amp;L; it is not an independent broker reconciliation. </t>
  </si>
  <si>
    <t>Risk &amp; Controls Review</t>
  </si>
  <si>
    <t>Investment process and risk lessons</t>
  </si>
  <si>
    <t>Topic</t>
  </si>
  <si>
    <t>Approach / learning</t>
  </si>
  <si>
    <t>Strategy</t>
  </si>
  <si>
    <t>Swing/positional equity trading using technical analysis, fundamental/value ideas, momentum, volume, RSI, chart patterns and themes.</t>
  </si>
  <si>
    <t>Position sizing</t>
  </si>
  <si>
    <t>Normal stated range: approximately 35–50% of capital; avoid full-capital concentration.</t>
  </si>
  <si>
    <t>Technical lesson</t>
  </si>
  <si>
    <t>A breakout can fail; use confirmation and sizing limits rather than relying on a single chart view.</t>
  </si>
  <si>
    <t>Fundamental lesson</t>
  </si>
  <si>
    <t>A correct thesis can still have an unfavourable outcome or require an exit for personal liquidity.</t>
  </si>
  <si>
    <t>Patience lesson</t>
  </si>
  <si>
    <t>Sagility reflects the need to define holding period and review triggers.</t>
  </si>
  <si>
    <t>Conclusion</t>
  </si>
  <si>
    <t>I analysed selected personal equity trades in Excel, calculated realized P&amp;L and trade-level returns, identified leading contributors and detractors, and documented the investment thesis and lessons behind each outcome. I also added simple P&amp;L validation checks to distinguish arithmetic consistency from an independent reconciliation. The project demonstrates my interest in markets, investment analysis, P&amp;L attribution and disciplined post-trade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</si>
</sst>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-"/>
    <numFmt numFmtId="165" formatCode="0.0%;[Red]\(0.0%\);\-"/>
    <numFmt numFmtId="166" formatCode="#,##0;[Red]\(#,##0\);\-"/>
    <numFmt numFmtId="167" formatCode="0.0\x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8000"/>
      <name val="Carlito"/>
    </font>
    <font>
      <b/>
      <sz val="11"/>
      <color rgb="FF008000"/>
      <name val="Carlito"/>
    </font>
    <font>
      <i/>
      <sz val="9"/>
      <name val="Carlito"/>
    </font>
    <font>
      <sz val="8"/>
      <color rgb="FFFFFFFF"/>
      <name val="Carlito"/>
    </font>
    <font>
      <b/>
      <sz val="10"/>
      <color rgb="FFFF0000"/>
      <name val="Carlito"/>
    </font>
    <font>
      <i/>
      <sz val="10"/>
      <color rgb="FFFF0000"/>
      <name val="Carlito"/>
    </font>
    <font>
      <sz val="9"/>
      <color rgb="FF0000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4F8F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/>
    <xf numFmtId="3" fontId="0" fillId="6" borderId="1" xfId="0" applyNumberFormat="1" applyFont="1" applyFill="1" applyBorder="1"/>
    <xf numFmtId="164" fontId="0" fillId="6" borderId="1" xfId="0" applyNumberFormat="1" applyFont="1" applyFill="1" applyBorder="1"/>
    <xf numFmtId="164" fontId="3" fillId="5" borderId="1" xfId="0" applyNumberFormat="1" applyFont="1" applyFill="1" applyBorder="1"/>
    <xf numFmtId="165" fontId="4" fillId="0" borderId="1" xfId="0" applyNumberFormat="1" applyFont="1" applyFill="1" applyBorder="1"/>
    <xf numFmtId="165" fontId="5" fillId="5" borderId="1" xfId="0" applyNumberFormat="1" applyFont="1" applyFill="1" applyBorder="1"/>
    <xf numFmtId="164" fontId="4" fillId="0" borderId="1" xfId="0" applyNumberFormat="1" applyFont="1" applyFill="1" applyBorder="1"/>
    <xf numFmtId="0" fontId="3" fillId="7" borderId="1" xfId="0" applyNumberFormat="1" applyFont="1" applyFill="1" applyBorder="1"/>
    <xf numFmtId="3" fontId="3" fillId="0" borderId="1" xfId="0" applyNumberFormat="1" applyFont="1" applyFill="1" applyBorder="1"/>
    <xf numFmtId="166" fontId="3" fillId="0" borderId="1" xfId="0" applyNumberFormat="1" applyFont="1" applyFill="1" applyBorder="1"/>
    <xf numFmtId="165" fontId="3" fillId="0" borderId="1" xfId="0" applyNumberFormat="1" applyFont="1" applyFill="1" applyBorder="1"/>
    <xf numFmtId="167" fontId="3" fillId="0" borderId="1" xfId="0" applyNumberFormat="1" applyFont="1" applyFill="1" applyBorder="1"/>
    <xf numFmtId="0" fontId="3" fillId="0" borderId="1" xfId="0" applyNumberFormat="1" applyFont="1" applyFill="1" applyBorder="1"/>
    <xf numFmtId="0" fontId="7" fillId="0" borderId="0" xfId="0" applyNumberFormat="1" applyFont="1" applyFill="1" applyBorder="1"/>
    <xf numFmtId="0" fontId="2" fillId="4" borderId="0" xfId="0" applyNumberFormat="1" applyFont="1" applyFill="1" applyBorder="1" applyAlignment="1"/>
    <xf numFmtId="0" fontId="0" fillId="7" borderId="2" xfId="0" applyNumberFormat="1" applyFont="1" applyFill="1" applyBorder="1" applyAlignment="1">
      <alignment vertical="top" wrapText="1"/>
    </xf>
    <xf numFmtId="0" fontId="0" fillId="7" borderId="3" xfId="0" applyNumberFormat="1" applyFont="1" applyFill="1" applyBorder="1" applyAlignment="1">
      <alignment vertical="top" wrapText="1"/>
    </xf>
    <xf numFmtId="0" fontId="0" fillId="7" borderId="4" xfId="0" applyNumberFormat="1" applyFont="1" applyFill="1" applyBorder="1" applyAlignment="1">
      <alignment vertical="top" wrapText="1"/>
    </xf>
    <xf numFmtId="0" fontId="0" fillId="7" borderId="8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0" fontId="0" fillId="7" borderId="9" xfId="0" applyNumberFormat="1" applyFont="1" applyFill="1" applyBorder="1" applyAlignment="1">
      <alignment vertical="top" wrapText="1"/>
    </xf>
    <xf numFmtId="0" fontId="0" fillId="7" borderId="5" xfId="0" applyNumberFormat="1" applyFont="1" applyFill="1" applyBorder="1" applyAlignment="1">
      <alignment vertical="top" wrapText="1"/>
    </xf>
    <xf numFmtId="0" fontId="0" fillId="7" borderId="6" xfId="0" applyNumberFormat="1" applyFont="1" applyFill="1" applyBorder="1" applyAlignment="1">
      <alignment vertical="top" wrapText="1"/>
    </xf>
    <xf numFmtId="0" fontId="0" fillId="7" borderId="7" xfId="0" applyNumberFormat="1" applyFont="1" applyFill="1" applyBorder="1" applyAlignment="1">
      <alignment vertical="top" wrapText="1"/>
    </xf>
    <xf numFmtId="0" fontId="1" fillId="8" borderId="0" xfId="0" applyNumberFormat="1" applyFont="1" applyFill="1" applyBorder="1" applyAlignment="1"/>
    <xf numFmtId="0" fontId="8" fillId="3" borderId="0" xfId="0" applyNumberFormat="1" applyFont="1" applyFill="1" applyBorder="1" applyAlignment="1">
      <alignment wrapText="1"/>
    </xf>
    <xf numFmtId="0" fontId="9" fillId="3" borderId="0" xfId="0" applyNumberFormat="1" applyFont="1" applyFill="1" applyBorder="1" applyAlignment="1">
      <alignment wrapText="1"/>
    </xf>
    <xf numFmtId="0" fontId="0" fillId="6" borderId="3" xfId="0" applyNumberFormat="1" applyFont="1" applyFill="1" applyBorder="1" applyAlignment="1">
      <alignment horizontal="center" vertical="top" wrapText="1"/>
    </xf>
    <xf numFmtId="0" fontId="2" fillId="4" borderId="6" xfId="0" applyNumberFormat="1" applyFont="1" applyFill="1" applyBorder="1" applyAlignment="1">
      <alignment horizontal="center"/>
    </xf>
    <xf numFmtId="0" fontId="1" fillId="9" borderId="0" xfId="0" applyNumberFormat="1" applyFont="1" applyFill="1" applyBorder="1" applyAlignment="1"/>
    <xf numFmtId="0" fontId="0" fillId="9" borderId="0" xfId="0" applyFill="1"/>
    <xf numFmtId="0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NumberFormat="1" applyFont="1" applyFill="1" applyBorder="1" applyAlignment="1">
      <alignment horizontal="center" vertical="top" wrapText="1"/>
    </xf>
    <xf numFmtId="0" fontId="1" fillId="9" borderId="0" xfId="0" applyNumberFormat="1" applyFont="1" applyFill="1" applyBorder="1" applyAlignment="1">
      <alignment horizontal="center"/>
    </xf>
    <xf numFmtId="0" fontId="10" fillId="6" borderId="2" xfId="0" applyNumberFormat="1" applyFont="1" applyFill="1" applyBorder="1" applyAlignment="1">
      <alignment vertical="top" wrapText="1"/>
    </xf>
    <xf numFmtId="0" fontId="6" fillId="6" borderId="3" xfId="0" applyNumberFormat="1" applyFont="1" applyFill="1" applyBorder="1" applyAlignment="1">
      <alignment vertical="top" wrapText="1"/>
    </xf>
    <xf numFmtId="0" fontId="6" fillId="6" borderId="5" xfId="0" applyNumberFormat="1" applyFont="1" applyFill="1" applyBorder="1" applyAlignment="1">
      <alignment vertical="top" wrapText="1"/>
    </xf>
    <xf numFmtId="0" fontId="6" fillId="6" borderId="6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center"/>
    </xf>
    <xf numFmtId="0" fontId="6" fillId="6" borderId="3" xfId="0" applyNumberFormat="1" applyFont="1" applyFill="1" applyBorder="1" applyAlignment="1">
      <alignment horizontal="center" vertical="top" wrapText="1"/>
    </xf>
    <xf numFmtId="0" fontId="6" fillId="6" borderId="6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Realized P&amp;L by Instrument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P&amp;L</c:v>
          </c:tx>
          <c:spPr>
            <a:ln w="25400">
              <a:noFill/>
            </a:ln>
          </c:spPr>
          <c:invertIfNegative val="1"/>
          <c:dPt>
            <c:idx val="8"/>
            <c:invertIfNegative val="1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32DD-476F-A449-B37A1702C165}"/>
              </c:ext>
            </c:extLst>
          </c:dPt>
          <c:dPt>
            <c:idx val="11"/>
            <c:invertIfNegative val="1"/>
            <c:bubble3D val="0"/>
            <c:spPr>
              <a:solidFill>
                <a:srgbClr val="FF0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FA69-4958-8103-888D4126F139}"/>
              </c:ext>
            </c:extLst>
          </c:dPt>
          <c:cat>
            <c:strRef>
              <c:f>'P&amp;L Dashboard'!$J$25:$J$37</c:f>
              <c:strCache>
                <c:ptCount val="13"/>
                <c:pt idx="0">
                  <c:v>ZENSARTECH</c:v>
                </c:pt>
                <c:pt idx="1">
                  <c:v>AHCL</c:v>
                </c:pt>
                <c:pt idx="2">
                  <c:v>MAHABANK</c:v>
                </c:pt>
                <c:pt idx="3">
                  <c:v>GSFC</c:v>
                </c:pt>
                <c:pt idx="4">
                  <c:v>UNIONBANK</c:v>
                </c:pt>
                <c:pt idx="5">
                  <c:v>SOUTHBANK</c:v>
                </c:pt>
                <c:pt idx="6">
                  <c:v>LUXIND</c:v>
                </c:pt>
                <c:pt idx="7">
                  <c:v>BBTC</c:v>
                </c:pt>
                <c:pt idx="8">
                  <c:v>IRFC</c:v>
                </c:pt>
                <c:pt idx="9">
                  <c:v>RRKABEL</c:v>
                </c:pt>
                <c:pt idx="10">
                  <c:v>SAGILITY</c:v>
                </c:pt>
                <c:pt idx="11">
                  <c:v>MAMATA</c:v>
                </c:pt>
                <c:pt idx="12">
                  <c:v>JKPAPER</c:v>
                </c:pt>
              </c:strCache>
            </c:strRef>
          </c:cat>
          <c:val>
            <c:numRef>
              <c:f>'P&amp;L Dashboard'!$K$25:$K$37</c:f>
              <c:numCache>
                <c:formatCode>General</c:formatCode>
                <c:ptCount val="13"/>
                <c:pt idx="0">
                  <c:v>50799.5</c:v>
                </c:pt>
                <c:pt idx="1">
                  <c:v>49590.13</c:v>
                </c:pt>
                <c:pt idx="2">
                  <c:v>33286.1</c:v>
                </c:pt>
                <c:pt idx="3">
                  <c:v>26430</c:v>
                </c:pt>
                <c:pt idx="4">
                  <c:v>25522.5</c:v>
                </c:pt>
                <c:pt idx="5">
                  <c:v>21982</c:v>
                </c:pt>
                <c:pt idx="6">
                  <c:v>20050</c:v>
                </c:pt>
                <c:pt idx="7">
                  <c:v>18745.25</c:v>
                </c:pt>
                <c:pt idx="8">
                  <c:v>-6159.15</c:v>
                </c:pt>
                <c:pt idx="9">
                  <c:v>-5284</c:v>
                </c:pt>
                <c:pt idx="10">
                  <c:v>-4906</c:v>
                </c:pt>
                <c:pt idx="11">
                  <c:v>-4120.2</c:v>
                </c:pt>
                <c:pt idx="12">
                  <c:v>-2057.5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9-4958-8103-888D4126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Stock Portfolio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</c:sp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showGridLines="0" workbookViewId="0">
      <selection activeCell="F16" sqref="F16"/>
    </sheetView>
  </sheetViews>
  <sheetFormatPr defaultRowHeight="15"/>
  <cols>
    <col min="1" max="1" width="20" customWidth="1"/>
    <col min="2" max="4" width="15" customWidth="1"/>
    <col min="5" max="5" width="11" customWidth="1"/>
    <col min="6" max="6" width="19" customWidth="1"/>
    <col min="7" max="7" width="3" customWidth="1"/>
    <col min="8" max="8" width="23" customWidth="1"/>
    <col min="9" max="14" width="14" customWidth="1"/>
  </cols>
  <sheetData>
    <row r="1" spans="1:14" ht="27.9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0" customHeight="1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>
      <c r="A4" s="19" t="s">
        <v>2</v>
      </c>
      <c r="B4" s="19"/>
      <c r="C4" s="19"/>
      <c r="D4" s="19"/>
      <c r="F4" s="19" t="s">
        <v>3</v>
      </c>
      <c r="G4" s="19"/>
      <c r="H4" s="19"/>
      <c r="I4" s="19"/>
    </row>
    <row r="5" spans="1:14">
      <c r="A5" s="12" t="s">
        <v>4</v>
      </c>
      <c r="B5" s="13">
        <f>COUNTA('Trade P&amp;L &amp; Stories'!A4:A16)</f>
        <v>13</v>
      </c>
      <c r="F5" s="12" t="s">
        <v>5</v>
      </c>
      <c r="G5" s="12"/>
      <c r="H5" s="13">
        <f>COUNTIF('Trade P&amp;L &amp; Stories'!E4:E16,"&gt;0")</f>
        <v>8</v>
      </c>
    </row>
    <row r="6" spans="1:14">
      <c r="A6" s="12" t="s">
        <v>6</v>
      </c>
      <c r="B6" s="14">
        <f>SUM('Trade P&amp;L &amp; Stories'!C4:C16)</f>
        <v>3989961.1500000004</v>
      </c>
      <c r="F6" s="12" t="s">
        <v>7</v>
      </c>
      <c r="G6" s="12"/>
      <c r="H6" s="13">
        <f>COUNTIF('Trade P&amp;L &amp; Stories'!E4:E16,"&lt;0")</f>
        <v>5</v>
      </c>
    </row>
    <row r="7" spans="1:14">
      <c r="A7" s="12" t="s">
        <v>8</v>
      </c>
      <c r="B7" s="14">
        <f>SUM('Trade P&amp;L &amp; Stories'!D4:D16)</f>
        <v>4213839.78</v>
      </c>
      <c r="F7" s="12" t="s">
        <v>9</v>
      </c>
      <c r="G7" s="12"/>
      <c r="H7" s="15">
        <f>H5/(H5+H6)</f>
        <v>0.61538461538461542</v>
      </c>
    </row>
    <row r="8" spans="1:14">
      <c r="A8" s="12" t="s">
        <v>10</v>
      </c>
      <c r="B8" s="14">
        <f>'Trade P&amp;L &amp; Stories'!E17</f>
        <v>223878.63</v>
      </c>
      <c r="F8" s="12" t="s">
        <v>11</v>
      </c>
      <c r="G8" s="12"/>
      <c r="H8" s="16">
        <f>B10/ABS(B11)</f>
        <v>10.938301626725442</v>
      </c>
    </row>
    <row r="9" spans="1:14">
      <c r="A9" s="12" t="s">
        <v>12</v>
      </c>
      <c r="B9" s="15">
        <f>B8/B6</f>
        <v>5.6110478669698323E-2</v>
      </c>
      <c r="F9" s="12" t="s">
        <v>13</v>
      </c>
      <c r="G9" s="12"/>
      <c r="H9" s="17" t="str">
        <f>INDEX('Trade P&amp;L &amp; Stories'!A4:A16,MATCH(MAX('Trade P&amp;L &amp; Stories'!E4:E16),'Trade P&amp;L &amp; Stories'!E4:E16,0))</f>
        <v>ZENSARTECH</v>
      </c>
    </row>
    <row r="10" spans="1:14">
      <c r="A10" s="12" t="s">
        <v>14</v>
      </c>
      <c r="B10" s="14">
        <f>SUMIF('Trade P&amp;L &amp; Stories'!E4:E16,"&gt;0",'Trade P&amp;L &amp; Stories'!E4:E16)</f>
        <v>246405.48</v>
      </c>
      <c r="F10" s="12" t="s">
        <v>15</v>
      </c>
      <c r="G10" s="12"/>
      <c r="H10" s="17" t="str">
        <f>INDEX('Trade P&amp;L &amp; Stories'!A4:A16,MATCH(MIN('Trade P&amp;L &amp; Stories'!E4:E16),'Trade P&amp;L &amp; Stories'!E4:E16,0))</f>
        <v>IRFC</v>
      </c>
    </row>
    <row r="11" spans="1:14">
      <c r="A11" s="12" t="s">
        <v>16</v>
      </c>
      <c r="B11" s="14">
        <f>SUMIF('Trade P&amp;L &amp; Stories'!E4:E16,"&lt;0",'Trade P&amp;L &amp; Stories'!E4:E16)</f>
        <v>-22526.85</v>
      </c>
    </row>
    <row r="14" spans="1:14">
      <c r="A14" s="19" t="s">
        <v>17</v>
      </c>
      <c r="B14" s="19"/>
      <c r="C14" s="19"/>
      <c r="D14" s="19"/>
      <c r="E14" s="19"/>
      <c r="F14" s="19"/>
      <c r="H14" s="19" t="s">
        <v>18</v>
      </c>
      <c r="I14" s="19"/>
      <c r="J14" s="19"/>
      <c r="K14" s="19"/>
      <c r="L14" s="19"/>
      <c r="M14" s="19"/>
      <c r="N14" s="19"/>
    </row>
    <row r="15" spans="1:14" ht="32.1" customHeight="1">
      <c r="A15" s="1" t="s">
        <v>19</v>
      </c>
      <c r="B15" s="1" t="s">
        <v>20</v>
      </c>
      <c r="C15" s="1" t="s">
        <v>21</v>
      </c>
      <c r="D15" s="1" t="s">
        <v>10</v>
      </c>
      <c r="E15" s="1" t="s">
        <v>22</v>
      </c>
      <c r="F15" s="1" t="s">
        <v>23</v>
      </c>
      <c r="H15" s="20" t="s">
        <v>24</v>
      </c>
      <c r="I15" s="21"/>
      <c r="J15" s="21"/>
      <c r="K15" s="21"/>
      <c r="L15" s="21"/>
      <c r="M15" s="21"/>
      <c r="N15" s="22"/>
    </row>
    <row r="16" spans="1:14">
      <c r="A16" s="5" t="str">
        <f>'Trade P&amp;L &amp; Stories'!A4</f>
        <v>ZENSARTECH</v>
      </c>
      <c r="B16" s="11">
        <f>'Trade P&amp;L &amp; Stories'!C4</f>
        <v>284200.5</v>
      </c>
      <c r="C16" s="11">
        <f>'Trade P&amp;L &amp; Stories'!D4</f>
        <v>335000</v>
      </c>
      <c r="D16" s="11">
        <f>'Trade P&amp;L &amp; Stories'!E4</f>
        <v>50799.5</v>
      </c>
      <c r="E16" s="9">
        <f>'Trade P&amp;L &amp; Stories'!F4</f>
        <v>0.17874528721800279</v>
      </c>
      <c r="F16" s="5" t="str">
        <f>'Trade P&amp;L &amp; Stories'!H4</f>
        <v>Technical Analysis</v>
      </c>
      <c r="H16" s="23"/>
      <c r="I16" s="24"/>
      <c r="J16" s="24"/>
      <c r="K16" s="24"/>
      <c r="L16" s="24"/>
      <c r="M16" s="24"/>
      <c r="N16" s="25"/>
    </row>
    <row r="17" spans="1:14">
      <c r="A17" s="5" t="str">
        <f>'Trade P&amp;L &amp; Stories'!A5</f>
        <v>AHCL</v>
      </c>
      <c r="B17" s="11">
        <f>'Trade P&amp;L &amp; Stories'!C5</f>
        <v>93500</v>
      </c>
      <c r="C17" s="11">
        <f>'Trade P&amp;L &amp; Stories'!D5</f>
        <v>143090.13</v>
      </c>
      <c r="D17" s="11">
        <f>'Trade P&amp;L &amp; Stories'!E5</f>
        <v>49590.13</v>
      </c>
      <c r="E17" s="9">
        <f>'Trade P&amp;L &amp; Stories'!F5</f>
        <v>0.53037572192513371</v>
      </c>
      <c r="F17" s="5" t="str">
        <f>'Trade P&amp;L &amp; Stories'!H5</f>
        <v>Thematic / Fundamental</v>
      </c>
      <c r="H17" s="23"/>
      <c r="I17" s="24"/>
      <c r="J17" s="24"/>
      <c r="K17" s="24"/>
      <c r="L17" s="24"/>
      <c r="M17" s="24"/>
      <c r="N17" s="25"/>
    </row>
    <row r="18" spans="1:14">
      <c r="A18" s="5" t="str">
        <f>'Trade P&amp;L &amp; Stories'!A6</f>
        <v>MAHABANK</v>
      </c>
      <c r="B18" s="11">
        <f>'Trade P&amp;L &amp; Stories'!C6</f>
        <v>408447.1</v>
      </c>
      <c r="C18" s="11">
        <f>'Trade P&amp;L &amp; Stories'!D6</f>
        <v>441733.2</v>
      </c>
      <c r="D18" s="11">
        <f>'Trade P&amp;L &amp; Stories'!E6</f>
        <v>33286.1</v>
      </c>
      <c r="E18" s="9">
        <f>'Trade P&amp;L &amp; Stories'!F6</f>
        <v>8.1494274289130711E-2</v>
      </c>
      <c r="F18" s="5" t="str">
        <f>'Trade P&amp;L &amp; Stories'!H6</f>
        <v>Fundamental Analysis</v>
      </c>
      <c r="H18" s="23"/>
      <c r="I18" s="24"/>
      <c r="J18" s="24"/>
      <c r="K18" s="24"/>
      <c r="L18" s="24"/>
      <c r="M18" s="24"/>
      <c r="N18" s="25"/>
    </row>
    <row r="19" spans="1:14">
      <c r="A19" s="5" t="str">
        <f>'Trade P&amp;L &amp; Stories'!A7</f>
        <v>GSFC</v>
      </c>
      <c r="B19" s="11">
        <f>'Trade P&amp;L &amp; Stories'!C7</f>
        <v>758510</v>
      </c>
      <c r="C19" s="11">
        <f>'Trade P&amp;L &amp; Stories'!D7</f>
        <v>784940</v>
      </c>
      <c r="D19" s="11">
        <f>'Trade P&amp;L &amp; Stories'!E7</f>
        <v>26430</v>
      </c>
      <c r="E19" s="9">
        <f>'Trade P&amp;L &amp; Stories'!F7</f>
        <v>3.4844629602773861E-2</v>
      </c>
      <c r="F19" s="5" t="str">
        <f>'Trade P&amp;L &amp; Stories'!H7</f>
        <v>Fundamental + Technical Anal</v>
      </c>
      <c r="H19" s="23"/>
      <c r="I19" s="24"/>
      <c r="J19" s="24"/>
      <c r="K19" s="24"/>
      <c r="L19" s="24"/>
      <c r="M19" s="24"/>
      <c r="N19" s="25"/>
    </row>
    <row r="20" spans="1:14">
      <c r="A20" s="5" t="str">
        <f>'Trade P&amp;L &amp; Stories'!A8</f>
        <v>UNIONBANK</v>
      </c>
      <c r="B20" s="11">
        <f>'Trade P&amp;L &amp; Stories'!C8</f>
        <v>785180.6</v>
      </c>
      <c r="C20" s="11">
        <f>'Trade P&amp;L &amp; Stories'!D8</f>
        <v>810703.1</v>
      </c>
      <c r="D20" s="11">
        <f>'Trade P&amp;L &amp; Stories'!E8</f>
        <v>25522.5</v>
      </c>
      <c r="E20" s="9">
        <f>'Trade P&amp;L &amp; Stories'!F8</f>
        <v>3.2505260573172594E-2</v>
      </c>
      <c r="F20" s="5" t="str">
        <f>'Trade P&amp;L &amp; Stories'!H8</f>
        <v>Fundamental Analysis</v>
      </c>
      <c r="H20" s="23"/>
      <c r="I20" s="24"/>
      <c r="J20" s="24"/>
      <c r="K20" s="24"/>
      <c r="L20" s="24"/>
      <c r="M20" s="24"/>
      <c r="N20" s="25"/>
    </row>
    <row r="21" spans="1:14">
      <c r="A21" s="5" t="str">
        <f>'Trade P&amp;L &amp; Stories'!A9</f>
        <v>SOUTHBANK</v>
      </c>
      <c r="B21" s="11">
        <f>'Trade P&amp;L &amp; Stories'!C9</f>
        <v>203140</v>
      </c>
      <c r="C21" s="11">
        <f>'Trade P&amp;L &amp; Stories'!D9</f>
        <v>225122</v>
      </c>
      <c r="D21" s="11">
        <f>'Trade P&amp;L &amp; Stories'!E9</f>
        <v>21982</v>
      </c>
      <c r="E21" s="9">
        <f>'Trade P&amp;L &amp; Stories'!F9</f>
        <v>0.10821108595057596</v>
      </c>
      <c r="F21" s="5" t="str">
        <f>'Trade P&amp;L &amp; Stories'!H9</f>
        <v>Fundamental Analysis</v>
      </c>
      <c r="H21" s="26"/>
      <c r="I21" s="27"/>
      <c r="J21" s="27"/>
      <c r="K21" s="27"/>
      <c r="L21" s="27"/>
      <c r="M21" s="27"/>
      <c r="N21" s="28"/>
    </row>
    <row r="22" spans="1:14">
      <c r="A22" s="5" t="str">
        <f>'Trade P&amp;L &amp; Stories'!A10</f>
        <v>LUXIND</v>
      </c>
      <c r="B22" s="11">
        <f>'Trade P&amp;L &amp; Stories'!C10</f>
        <v>171950</v>
      </c>
      <c r="C22" s="11">
        <f>'Trade P&amp;L &amp; Stories'!D10</f>
        <v>192000</v>
      </c>
      <c r="D22" s="11">
        <f>'Trade P&amp;L &amp; Stories'!E10</f>
        <v>20050</v>
      </c>
      <c r="E22" s="9">
        <f>'Trade P&amp;L &amp; Stories'!F10</f>
        <v>0.11660366385577203</v>
      </c>
      <c r="F22" s="5" t="str">
        <f>'Trade P&amp;L &amp; Stories'!H10</f>
        <v>Technical Analysis</v>
      </c>
    </row>
    <row r="23" spans="1:14">
      <c r="A23" s="5" t="str">
        <f>'Trade P&amp;L &amp; Stories'!A11</f>
        <v>BBTC</v>
      </c>
      <c r="B23" s="11">
        <f>'Trade P&amp;L &amp; Stories'!C11</f>
        <v>308518.75</v>
      </c>
      <c r="C23" s="11">
        <f>'Trade P&amp;L &amp; Stories'!D11</f>
        <v>327264</v>
      </c>
      <c r="D23" s="11">
        <f>'Trade P&amp;L &amp; Stories'!E11</f>
        <v>18745.25</v>
      </c>
      <c r="E23" s="9">
        <f>'Trade P&amp;L &amp; Stories'!F11</f>
        <v>6.0758867978040233E-2</v>
      </c>
      <c r="F23" s="5" t="str">
        <f>'Trade P&amp;L &amp; Stories'!H11</f>
        <v>Technical Analysis</v>
      </c>
    </row>
    <row r="24" spans="1:14">
      <c r="A24" s="5" t="str">
        <f>'Trade P&amp;L &amp; Stories'!A12</f>
        <v>IRFC</v>
      </c>
      <c r="B24" s="11">
        <f>'Trade P&amp;L &amp; Stories'!C12</f>
        <v>89974.2</v>
      </c>
      <c r="C24" s="11">
        <f>'Trade P&amp;L &amp; Stories'!D12</f>
        <v>83815.05</v>
      </c>
      <c r="D24" s="11">
        <f>'Trade P&amp;L &amp; Stories'!E12</f>
        <v>-6159.15</v>
      </c>
      <c r="E24" s="9">
        <f>'Trade P&amp;L &amp; Stories'!F12</f>
        <v>-6.8454623658782188E-2</v>
      </c>
      <c r="F24" s="5" t="str">
        <f>'Trade P&amp;L &amp; Stories'!H12</f>
        <v>Technical Analysis</v>
      </c>
      <c r="J24" s="18" t="s">
        <v>19</v>
      </c>
      <c r="K24" s="18" t="s">
        <v>25</v>
      </c>
    </row>
    <row r="25" spans="1:14">
      <c r="A25" s="5" t="str">
        <f>'Trade P&amp;L &amp; Stories'!A13</f>
        <v>RRKABEL</v>
      </c>
      <c r="B25" s="11">
        <f>'Trade P&amp;L &amp; Stories'!C13</f>
        <v>129980</v>
      </c>
      <c r="C25" s="11">
        <f>'Trade P&amp;L &amp; Stories'!D13</f>
        <v>124696</v>
      </c>
      <c r="D25" s="11">
        <f>'Trade P&amp;L &amp; Stories'!E13</f>
        <v>-5284</v>
      </c>
      <c r="E25" s="9">
        <f>'Trade P&amp;L &amp; Stories'!F13</f>
        <v>-4.0652408062778887E-2</v>
      </c>
      <c r="F25" s="5" t="str">
        <f>'Trade P&amp;L &amp; Stories'!H13</f>
        <v>Fundamental Analysis</v>
      </c>
      <c r="J25" s="18" t="str">
        <f>'Trade P&amp;L &amp; Stories'!A4</f>
        <v>ZENSARTECH</v>
      </c>
      <c r="K25" s="18">
        <f>'Trade P&amp;L &amp; Stories'!E4</f>
        <v>50799.5</v>
      </c>
    </row>
    <row r="26" spans="1:14">
      <c r="A26" s="5" t="str">
        <f>'Trade P&amp;L &amp; Stories'!A14</f>
        <v>SAGILITY</v>
      </c>
      <c r="B26" s="11">
        <f>'Trade P&amp;L &amp; Stories'!C14</f>
        <v>99000</v>
      </c>
      <c r="C26" s="11">
        <f>'Trade P&amp;L &amp; Stories'!D14</f>
        <v>94094</v>
      </c>
      <c r="D26" s="11">
        <f>'Trade P&amp;L &amp; Stories'!E14</f>
        <v>-4906</v>
      </c>
      <c r="E26" s="9">
        <f>'Trade P&amp;L &amp; Stories'!F14</f>
        <v>-4.9555555555555554E-2</v>
      </c>
      <c r="F26" s="5" t="str">
        <f>'Trade P&amp;L &amp; Stories'!H14</f>
        <v>Other</v>
      </c>
      <c r="J26" s="18" t="str">
        <f>'Trade P&amp;L &amp; Stories'!A5</f>
        <v>AHCL</v>
      </c>
      <c r="K26" s="18">
        <f>'Trade P&amp;L &amp; Stories'!E5</f>
        <v>49590.13</v>
      </c>
    </row>
    <row r="27" spans="1:14">
      <c r="A27" s="5" t="str">
        <f>'Trade P&amp;L &amp; Stories'!A15</f>
        <v>MAMATA</v>
      </c>
      <c r="B27" s="11">
        <f>'Trade P&amp;L &amp; Stories'!C15</f>
        <v>559850</v>
      </c>
      <c r="C27" s="11">
        <f>'Trade P&amp;L &amp; Stories'!D15</f>
        <v>555729.80000000005</v>
      </c>
      <c r="D27" s="11">
        <f>'Trade P&amp;L &amp; Stories'!E15</f>
        <v>-4120.2</v>
      </c>
      <c r="E27" s="9">
        <f>'Trade P&amp;L &amp; Stories'!F15</f>
        <v>-7.3594712869518618E-3</v>
      </c>
      <c r="F27" s="5" t="str">
        <f>'Trade P&amp;L &amp; Stories'!H15</f>
        <v>IPO</v>
      </c>
      <c r="J27" s="18" t="str">
        <f>'Trade P&amp;L &amp; Stories'!A6</f>
        <v>MAHABANK</v>
      </c>
      <c r="K27" s="18">
        <f>'Trade P&amp;L &amp; Stories'!E6</f>
        <v>33286.1</v>
      </c>
    </row>
    <row r="28" spans="1:14">
      <c r="A28" s="5" t="str">
        <f>'Trade P&amp;L &amp; Stories'!A16</f>
        <v>JKPAPER</v>
      </c>
      <c r="B28" s="11">
        <f>'Trade P&amp;L &amp; Stories'!C16</f>
        <v>97710</v>
      </c>
      <c r="C28" s="11">
        <f>'Trade P&amp;L &amp; Stories'!D16</f>
        <v>95652.5</v>
      </c>
      <c r="D28" s="11">
        <f>'Trade P&amp;L &amp; Stories'!E16</f>
        <v>-2057.5</v>
      </c>
      <c r="E28" s="9">
        <f>'Trade P&amp;L &amp; Stories'!F16</f>
        <v>-2.1057210111554599E-2</v>
      </c>
      <c r="F28" s="5" t="str">
        <f>'Trade P&amp;L &amp; Stories'!H16</f>
        <v>Fundamental</v>
      </c>
      <c r="J28" s="18" t="str">
        <f>'Trade P&amp;L &amp; Stories'!A7</f>
        <v>GSFC</v>
      </c>
      <c r="K28" s="18">
        <f>'Trade P&amp;L &amp; Stories'!E7</f>
        <v>26430</v>
      </c>
    </row>
    <row r="29" spans="1:14">
      <c r="J29" s="18" t="str">
        <f>'Trade P&amp;L &amp; Stories'!A8</f>
        <v>UNIONBANK</v>
      </c>
      <c r="K29" s="18">
        <f>'Trade P&amp;L &amp; Stories'!E8</f>
        <v>25522.5</v>
      </c>
    </row>
    <row r="30" spans="1:14">
      <c r="J30" s="18" t="str">
        <f>'Trade P&amp;L &amp; Stories'!A9</f>
        <v>SOUTHBANK</v>
      </c>
      <c r="K30" s="18">
        <f>'Trade P&amp;L &amp; Stories'!E9</f>
        <v>21982</v>
      </c>
    </row>
    <row r="31" spans="1:14">
      <c r="J31" s="18" t="str">
        <f>'Trade P&amp;L &amp; Stories'!A10</f>
        <v>LUXIND</v>
      </c>
      <c r="K31" s="18">
        <f>'Trade P&amp;L &amp; Stories'!E10</f>
        <v>20050</v>
      </c>
    </row>
    <row r="32" spans="1:14">
      <c r="J32" s="18" t="str">
        <f>'Trade P&amp;L &amp; Stories'!A11</f>
        <v>BBTC</v>
      </c>
      <c r="K32" s="18">
        <f>'Trade P&amp;L &amp; Stories'!E11</f>
        <v>18745.25</v>
      </c>
    </row>
    <row r="33" spans="10:11">
      <c r="J33" s="18" t="str">
        <f>'Trade P&amp;L &amp; Stories'!A12</f>
        <v>IRFC</v>
      </c>
      <c r="K33" s="18">
        <f>'Trade P&amp;L &amp; Stories'!E12</f>
        <v>-6159.15</v>
      </c>
    </row>
    <row r="34" spans="10:11">
      <c r="J34" s="18" t="str">
        <f>'Trade P&amp;L &amp; Stories'!A13</f>
        <v>RRKABEL</v>
      </c>
      <c r="K34" s="18">
        <f>'Trade P&amp;L &amp; Stories'!E13</f>
        <v>-5284</v>
      </c>
    </row>
    <row r="35" spans="10:11">
      <c r="J35" s="18" t="str">
        <f>'Trade P&amp;L &amp; Stories'!A14</f>
        <v>SAGILITY</v>
      </c>
      <c r="K35" s="18">
        <f>'Trade P&amp;L &amp; Stories'!E14</f>
        <v>-4906</v>
      </c>
    </row>
    <row r="36" spans="10:11">
      <c r="J36" s="18" t="str">
        <f>'Trade P&amp;L &amp; Stories'!A15</f>
        <v>MAMATA</v>
      </c>
      <c r="K36" s="18">
        <f>'Trade P&amp;L &amp; Stories'!E15</f>
        <v>-4120.2</v>
      </c>
    </row>
    <row r="37" spans="10:11">
      <c r="J37" s="18" t="str">
        <f>'Trade P&amp;L &amp; Stories'!A16</f>
        <v>JKPAPER</v>
      </c>
      <c r="K37" s="18">
        <f>'Trade P&amp;L &amp; Stories'!E16</f>
        <v>-2057.5</v>
      </c>
    </row>
  </sheetData>
  <mergeCells count="7">
    <mergeCell ref="H15:N21"/>
    <mergeCell ref="A1:N1"/>
    <mergeCell ref="A2:N2"/>
    <mergeCell ref="A4:D4"/>
    <mergeCell ref="F4:I4"/>
    <mergeCell ref="A14:F14"/>
    <mergeCell ref="H14:N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tabSelected="1" workbookViewId="0">
      <selection activeCell="A3" sqref="A3:XFD3"/>
    </sheetView>
  </sheetViews>
  <sheetFormatPr defaultRowHeight="14.25" customHeight="1"/>
  <cols>
    <col min="1" max="1" width="16" customWidth="1"/>
    <col min="2" max="2" width="12" customWidth="1"/>
    <col min="3" max="5" width="15" customWidth="1"/>
    <col min="6" max="6" width="11" customWidth="1"/>
    <col min="7" max="7" width="13" customWidth="1"/>
    <col min="8" max="8" width="19" customWidth="1"/>
    <col min="9" max="10" width="46" customWidth="1"/>
    <col min="11" max="11" width="15" style="37" customWidth="1"/>
  </cols>
  <sheetData>
    <row r="1" spans="1:11" ht="27.95" customHeight="1">
      <c r="A1" s="36" t="s">
        <v>26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/>
    <row r="3" spans="1:11" ht="35.1" customHeight="1">
      <c r="A3" s="1" t="s">
        <v>19</v>
      </c>
      <c r="B3" s="1" t="s">
        <v>27</v>
      </c>
      <c r="C3" s="1" t="s">
        <v>20</v>
      </c>
      <c r="D3" s="1" t="s">
        <v>21</v>
      </c>
      <c r="E3" s="1" t="s">
        <v>10</v>
      </c>
      <c r="F3" s="1" t="s">
        <v>22</v>
      </c>
      <c r="G3" s="1" t="s">
        <v>28</v>
      </c>
      <c r="H3" s="1" t="s">
        <v>23</v>
      </c>
      <c r="I3" s="1" t="s">
        <v>29</v>
      </c>
      <c r="J3" s="1" t="s">
        <v>30</v>
      </c>
      <c r="K3" s="1" t="s">
        <v>31</v>
      </c>
    </row>
    <row r="4" spans="1:11" ht="38.1" customHeight="1">
      <c r="A4" s="3" t="s">
        <v>32</v>
      </c>
      <c r="B4" s="6">
        <v>450</v>
      </c>
      <c r="C4" s="7">
        <v>284200.5</v>
      </c>
      <c r="D4" s="7">
        <v>335000</v>
      </c>
      <c r="E4" s="7">
        <v>50799.5</v>
      </c>
      <c r="F4" s="9">
        <f>E4/C4</f>
        <v>0.17874528721800279</v>
      </c>
      <c r="G4" s="9">
        <f>E4/$E$17</f>
        <v>0.22690642693320037</v>
      </c>
      <c r="H4" s="4" t="s">
        <v>33</v>
      </c>
      <c r="I4" s="4" t="s">
        <v>34</v>
      </c>
      <c r="J4" s="4" t="s">
        <v>35</v>
      </c>
      <c r="K4" s="44">
        <f>D4-C4</f>
        <v>50799.5</v>
      </c>
    </row>
    <row r="5" spans="1:11" ht="38.1" customHeight="1">
      <c r="A5" s="3" t="s">
        <v>36</v>
      </c>
      <c r="B5" s="6">
        <v>1000</v>
      </c>
      <c r="C5" s="7">
        <v>93500</v>
      </c>
      <c r="D5" s="7">
        <v>143090.13</v>
      </c>
      <c r="E5" s="7">
        <v>49590.13</v>
      </c>
      <c r="F5" s="9">
        <f>E5/C5</f>
        <v>0.53037572192513371</v>
      </c>
      <c r="G5" s="9">
        <f>E5/$E$17</f>
        <v>0.22150452680543917</v>
      </c>
      <c r="H5" s="4" t="s">
        <v>37</v>
      </c>
      <c r="I5" s="4" t="s">
        <v>38</v>
      </c>
      <c r="J5" s="4" t="s">
        <v>39</v>
      </c>
      <c r="K5" s="44">
        <f>D5-C5</f>
        <v>49590.130000000005</v>
      </c>
    </row>
    <row r="6" spans="1:11" ht="38.1" customHeight="1">
      <c r="A6" s="3" t="s">
        <v>40</v>
      </c>
      <c r="B6" s="6">
        <v>9870</v>
      </c>
      <c r="C6" s="7">
        <v>408447.1</v>
      </c>
      <c r="D6" s="7">
        <v>441733.2</v>
      </c>
      <c r="E6" s="7">
        <v>33286.1</v>
      </c>
      <c r="F6" s="9">
        <f>E6/C6</f>
        <v>8.1494274289130711E-2</v>
      </c>
      <c r="G6" s="9">
        <f>E6/$E$17</f>
        <v>0.14867921962895697</v>
      </c>
      <c r="H6" s="4" t="s">
        <v>41</v>
      </c>
      <c r="I6" s="4" t="s">
        <v>42</v>
      </c>
      <c r="J6" s="4" t="s">
        <v>43</v>
      </c>
      <c r="K6" s="44">
        <f>D6-C6</f>
        <v>33286.100000000035</v>
      </c>
    </row>
    <row r="7" spans="1:11" ht="38.1" customHeight="1">
      <c r="A7" s="3" t="s">
        <v>44</v>
      </c>
      <c r="B7" s="6">
        <v>3280</v>
      </c>
      <c r="C7" s="7">
        <v>758510</v>
      </c>
      <c r="D7" s="7">
        <v>784940</v>
      </c>
      <c r="E7" s="7">
        <v>26430</v>
      </c>
      <c r="F7" s="9">
        <f>E7/C7</f>
        <v>3.4844629602773861E-2</v>
      </c>
      <c r="G7" s="9">
        <f>E7/$E$17</f>
        <v>0.11805503723155711</v>
      </c>
      <c r="H7" s="4" t="s">
        <v>45</v>
      </c>
      <c r="I7" s="4" t="s">
        <v>46</v>
      </c>
      <c r="J7" s="4" t="s">
        <v>47</v>
      </c>
      <c r="K7" s="44">
        <f>D7-C7</f>
        <v>26430</v>
      </c>
    </row>
    <row r="8" spans="1:11" ht="38.1" customHeight="1">
      <c r="A8" s="3" t="s">
        <v>48</v>
      </c>
      <c r="B8" s="6">
        <v>7443</v>
      </c>
      <c r="C8" s="7">
        <v>785180.6</v>
      </c>
      <c r="D8" s="7">
        <v>810703.1</v>
      </c>
      <c r="E8" s="7">
        <v>25522.5</v>
      </c>
      <c r="F8" s="9">
        <f>E8/C8</f>
        <v>3.2505260573172594E-2</v>
      </c>
      <c r="G8" s="9">
        <f>E8/$E$17</f>
        <v>0.1140015016171932</v>
      </c>
      <c r="H8" s="4" t="s">
        <v>41</v>
      </c>
      <c r="I8" s="4" t="s">
        <v>42</v>
      </c>
      <c r="J8" s="4" t="s">
        <v>49</v>
      </c>
      <c r="K8" s="44">
        <f>D8-C8</f>
        <v>25522.5</v>
      </c>
    </row>
    <row r="9" spans="1:11" ht="38.1" customHeight="1">
      <c r="A9" s="3" t="s">
        <v>50</v>
      </c>
      <c r="B9" s="6">
        <v>5700</v>
      </c>
      <c r="C9" s="7">
        <v>203140</v>
      </c>
      <c r="D9" s="7">
        <v>225122</v>
      </c>
      <c r="E9" s="7">
        <v>21982</v>
      </c>
      <c r="F9" s="9">
        <f>E9/C9</f>
        <v>0.10821108595057596</v>
      </c>
      <c r="G9" s="9">
        <f>E9/$E$17</f>
        <v>9.818712933878504E-2</v>
      </c>
      <c r="H9" s="4" t="s">
        <v>41</v>
      </c>
      <c r="I9" s="4" t="s">
        <v>51</v>
      </c>
      <c r="J9" s="4" t="s">
        <v>49</v>
      </c>
      <c r="K9" s="44">
        <f>D9-C9</f>
        <v>21982</v>
      </c>
    </row>
    <row r="10" spans="1:11" ht="38.1" customHeight="1">
      <c r="A10" s="3" t="s">
        <v>52</v>
      </c>
      <c r="B10" s="6">
        <v>100</v>
      </c>
      <c r="C10" s="7">
        <v>171950</v>
      </c>
      <c r="D10" s="7">
        <v>192000</v>
      </c>
      <c r="E10" s="7">
        <v>20050</v>
      </c>
      <c r="F10" s="9">
        <f>E10/C10</f>
        <v>0.11660366385577203</v>
      </c>
      <c r="G10" s="9">
        <f>E10/$E$17</f>
        <v>8.9557453518453276E-2</v>
      </c>
      <c r="H10" s="4" t="s">
        <v>33</v>
      </c>
      <c r="I10" s="4" t="s">
        <v>53</v>
      </c>
      <c r="J10" s="4" t="s">
        <v>54</v>
      </c>
      <c r="K10" s="44">
        <f>D10-C10</f>
        <v>20050</v>
      </c>
    </row>
    <row r="11" spans="1:11" ht="38.1" customHeight="1">
      <c r="A11" s="3" t="s">
        <v>55</v>
      </c>
      <c r="B11" s="6">
        <v>150</v>
      </c>
      <c r="C11" s="7">
        <v>308518.75</v>
      </c>
      <c r="D11" s="7">
        <v>327264</v>
      </c>
      <c r="E11" s="7">
        <v>18745.25</v>
      </c>
      <c r="F11" s="9">
        <f>E11/C11</f>
        <v>6.0758867978040233E-2</v>
      </c>
      <c r="G11" s="9">
        <f>E11/$E$17</f>
        <v>8.3729518980887097E-2</v>
      </c>
      <c r="H11" s="4" t="s">
        <v>33</v>
      </c>
      <c r="I11" s="4" t="s">
        <v>56</v>
      </c>
      <c r="J11" s="4" t="s">
        <v>57</v>
      </c>
      <c r="K11" s="44">
        <f>D11-C11</f>
        <v>18745.25</v>
      </c>
    </row>
    <row r="12" spans="1:11" ht="38.1" customHeight="1">
      <c r="A12" s="3" t="s">
        <v>58</v>
      </c>
      <c r="B12" s="6">
        <v>2607</v>
      </c>
      <c r="C12" s="7">
        <v>89974.2</v>
      </c>
      <c r="D12" s="7">
        <v>83815.05</v>
      </c>
      <c r="E12" s="7">
        <v>-6159.15</v>
      </c>
      <c r="F12" s="9">
        <f>E12/C12</f>
        <v>-6.8454623658782188E-2</v>
      </c>
      <c r="G12" s="9">
        <f>E12/$E$17</f>
        <v>-2.7511111712627503E-2</v>
      </c>
      <c r="H12" s="4" t="s">
        <v>33</v>
      </c>
      <c r="I12" s="4" t="s">
        <v>59</v>
      </c>
      <c r="J12" s="4" t="s">
        <v>60</v>
      </c>
      <c r="K12" s="44">
        <f>D12-C12</f>
        <v>-6159.1499999999942</v>
      </c>
    </row>
    <row r="13" spans="1:11" ht="38.1" customHeight="1">
      <c r="A13" s="3" t="s">
        <v>61</v>
      </c>
      <c r="B13" s="6">
        <v>97</v>
      </c>
      <c r="C13" s="7">
        <v>129980</v>
      </c>
      <c r="D13" s="7">
        <v>124696</v>
      </c>
      <c r="E13" s="7">
        <v>-5284</v>
      </c>
      <c r="F13" s="9">
        <f>E13/C13</f>
        <v>-4.0652408062778887E-2</v>
      </c>
      <c r="G13" s="9">
        <f>E13/$E$17</f>
        <v>-2.3602074034489134E-2</v>
      </c>
      <c r="H13" s="4" t="s">
        <v>41</v>
      </c>
      <c r="I13" s="4" t="s">
        <v>62</v>
      </c>
      <c r="J13" s="4" t="s">
        <v>63</v>
      </c>
      <c r="K13" s="44">
        <f>D13-C13</f>
        <v>-5284</v>
      </c>
    </row>
    <row r="14" spans="1:11" ht="38.1" customHeight="1">
      <c r="A14" s="3" t="s">
        <v>64</v>
      </c>
      <c r="B14" s="6">
        <v>2200</v>
      </c>
      <c r="C14" s="7">
        <v>99000</v>
      </c>
      <c r="D14" s="7">
        <v>94094</v>
      </c>
      <c r="E14" s="7">
        <v>-4906</v>
      </c>
      <c r="F14" s="9">
        <f>E14/C14</f>
        <v>-4.9555555555555554E-2</v>
      </c>
      <c r="G14" s="9">
        <f>E14/$E$17</f>
        <v>-2.1913659200076398E-2</v>
      </c>
      <c r="H14" s="4" t="s">
        <v>65</v>
      </c>
      <c r="I14" s="4" t="s">
        <v>66</v>
      </c>
      <c r="J14" s="4" t="s">
        <v>67</v>
      </c>
      <c r="K14" s="44">
        <f>D14-C14</f>
        <v>-4906</v>
      </c>
    </row>
    <row r="15" spans="1:11" ht="38.1" customHeight="1">
      <c r="A15" s="3" t="s">
        <v>68</v>
      </c>
      <c r="B15" s="6">
        <v>1200</v>
      </c>
      <c r="C15" s="7">
        <v>559850</v>
      </c>
      <c r="D15" s="7">
        <v>555729.80000000005</v>
      </c>
      <c r="E15" s="7">
        <v>-4120.2</v>
      </c>
      <c r="F15" s="9">
        <f>E15/C15</f>
        <v>-7.3594712869518618E-3</v>
      </c>
      <c r="G15" s="9">
        <f>E15/$E$17</f>
        <v>-1.8403721695098813E-2</v>
      </c>
      <c r="H15" s="4" t="s">
        <v>69</v>
      </c>
      <c r="I15" s="4" t="s">
        <v>70</v>
      </c>
      <c r="J15" s="4" t="s">
        <v>71</v>
      </c>
      <c r="K15" s="44">
        <f>D15-C15</f>
        <v>-4120.1999999999534</v>
      </c>
    </row>
    <row r="16" spans="1:11" ht="38.1" customHeight="1">
      <c r="A16" s="3" t="s">
        <v>72</v>
      </c>
      <c r="B16" s="6">
        <v>300</v>
      </c>
      <c r="C16" s="7">
        <v>97710</v>
      </c>
      <c r="D16" s="7">
        <v>95652.5</v>
      </c>
      <c r="E16" s="7">
        <v>-2057.5</v>
      </c>
      <c r="F16" s="9">
        <f>E16/C16</f>
        <v>-2.1057210111554599E-2</v>
      </c>
      <c r="G16" s="9">
        <f>E16/$E$17</f>
        <v>-9.1902474121804308E-3</v>
      </c>
      <c r="H16" s="4" t="s">
        <v>73</v>
      </c>
      <c r="I16" s="4" t="s">
        <v>74</v>
      </c>
      <c r="J16" s="4" t="s">
        <v>75</v>
      </c>
      <c r="K16" s="44">
        <f>D16-C16</f>
        <v>-2057.5</v>
      </c>
    </row>
    <row r="17" spans="1:11" ht="15">
      <c r="A17" s="2" t="s">
        <v>76</v>
      </c>
      <c r="B17" s="2"/>
      <c r="C17" s="8"/>
      <c r="D17" s="8"/>
      <c r="E17" s="8">
        <f>SUM(E4:E16)</f>
        <v>223878.63</v>
      </c>
      <c r="F17" s="10">
        <f>E17/SUM(C4:C16)</f>
        <v>5.6110478669698323E-2</v>
      </c>
      <c r="G17" s="10">
        <f>SUM(G4:G16)</f>
        <v>1.0000000000000002</v>
      </c>
      <c r="H17" s="2"/>
      <c r="I17" s="2"/>
      <c r="J17" s="2"/>
      <c r="K17" s="45"/>
    </row>
    <row r="20" spans="1:11" ht="30" customHeight="1">
      <c r="A20" s="40" t="s">
        <v>77</v>
      </c>
      <c r="B20" s="41"/>
      <c r="C20" s="41"/>
      <c r="D20" s="41"/>
      <c r="E20" s="41"/>
      <c r="F20" s="41"/>
      <c r="G20" s="41"/>
      <c r="H20" s="41"/>
      <c r="I20" s="41"/>
      <c r="J20" s="41"/>
      <c r="K20" s="46"/>
    </row>
    <row r="21" spans="1:11" ht="30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7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selection activeCell="D9" sqref="D9"/>
    </sheetView>
  </sheetViews>
  <sheetFormatPr defaultRowHeight="14.25" customHeight="1"/>
  <cols>
    <col min="1" max="1" width="23" customWidth="1"/>
    <col min="2" max="2" width="45" customWidth="1"/>
  </cols>
  <sheetData>
    <row r="1" spans="1:8" ht="27.95" customHeight="1">
      <c r="A1" s="36" t="s">
        <v>78</v>
      </c>
      <c r="B1" s="36"/>
      <c r="C1" s="34"/>
      <c r="D1" s="34"/>
      <c r="E1" s="34"/>
      <c r="F1" s="34"/>
      <c r="G1" s="34"/>
      <c r="H1" s="35"/>
    </row>
    <row r="2" spans="1:8" s="35" customFormat="1" ht="27.95" customHeight="1">
      <c r="A2" s="39"/>
      <c r="B2" s="39"/>
      <c r="C2" s="34"/>
      <c r="D2" s="34"/>
      <c r="E2" s="34"/>
      <c r="F2" s="34"/>
      <c r="G2" s="34"/>
    </row>
    <row r="3" spans="1:8" ht="15">
      <c r="A3" s="33" t="s">
        <v>79</v>
      </c>
      <c r="B3" s="33"/>
      <c r="C3" s="35"/>
      <c r="D3" s="35"/>
      <c r="E3" s="35"/>
      <c r="F3" s="35"/>
      <c r="G3" s="35"/>
      <c r="H3" s="35"/>
    </row>
    <row r="4" spans="1:8" ht="16.5">
      <c r="A4" s="1" t="s">
        <v>80</v>
      </c>
      <c r="B4" s="1" t="s">
        <v>81</v>
      </c>
    </row>
    <row r="5" spans="1:8" ht="50.25">
      <c r="A5" s="12" t="s">
        <v>82</v>
      </c>
      <c r="B5" s="4" t="s">
        <v>83</v>
      </c>
    </row>
    <row r="6" spans="1:8" ht="33.75" customHeight="1">
      <c r="A6" s="12" t="s">
        <v>84</v>
      </c>
      <c r="B6" s="4" t="s">
        <v>85</v>
      </c>
    </row>
    <row r="7" spans="1:8" ht="33.75" customHeight="1">
      <c r="A7" s="12" t="s">
        <v>86</v>
      </c>
      <c r="B7" s="4" t="s">
        <v>87</v>
      </c>
    </row>
    <row r="8" spans="1:8" ht="33.75" customHeight="1">
      <c r="A8" s="12" t="s">
        <v>88</v>
      </c>
      <c r="B8" s="4" t="s">
        <v>89</v>
      </c>
    </row>
    <row r="9" spans="1:8" ht="33.75" customHeight="1">
      <c r="A9" s="12" t="s">
        <v>90</v>
      </c>
      <c r="B9" s="4" t="s">
        <v>91</v>
      </c>
    </row>
    <row r="11" spans="1:8"/>
    <row r="12" spans="1:8"/>
    <row r="13" spans="1:8" ht="15">
      <c r="A13" s="33" t="s">
        <v>92</v>
      </c>
      <c r="B13" s="33"/>
    </row>
    <row r="14" spans="1:8" ht="27.95" customHeight="1">
      <c r="A14" s="32" t="s">
        <v>93</v>
      </c>
      <c r="B14" s="32"/>
    </row>
    <row r="15" spans="1:8">
      <c r="A15" s="38"/>
      <c r="B15" s="38"/>
    </row>
    <row r="16" spans="1:8">
      <c r="A16" s="38"/>
      <c r="B16" s="38"/>
    </row>
    <row r="17" spans="1:2">
      <c r="A17" s="38"/>
      <c r="B17" s="38"/>
    </row>
    <row r="18" spans="1:2" ht="14.25" customHeight="1">
      <c r="A18" s="38"/>
      <c r="B18" s="38"/>
    </row>
    <row r="20" spans="1:2"/>
    <row r="21" spans="1:2"/>
    <row r="22" spans="1:2"/>
    <row r="23" spans="1:2"/>
    <row r="24" spans="1:2"/>
    <row r="25" spans="1:2"/>
  </sheetData>
  <mergeCells count="4">
    <mergeCell ref="A1:B1"/>
    <mergeCell ref="A3:B3"/>
    <mergeCell ref="A14:B18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2026-08-22T22:24:35Z</dcterms:created>
  <dcterms:modified xsi:type="dcterms:W3CDTF">2026-08-22T22:51:08Z</dcterms:modified>
  <cp:category/>
  <cp:contentStatus/>
</cp:coreProperties>
</file>